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70" documentId="11_0B1D56BE9CDCCE836B02CE7A5FB0D4A9BBFD1C62" xr6:coauthVersionLast="47" xr6:coauthVersionMax="47" xr10:uidLastSave="{9ABF4908-FEF9-4F92-9D00-C37E532278C6}"/>
  <bookViews>
    <workbookView xWindow="240" yWindow="105" windowWidth="14805" windowHeight="8010" activeTab="2" xr2:uid="{00000000-000D-0000-FFFF-FFFF00000000}"/>
  </bookViews>
  <sheets>
    <sheet name="Raw Data" sheetId="1" r:id="rId1"/>
    <sheet name="EOQ Analysis" sheetId="2" r:id="rId2"/>
    <sheet name="ABC Classification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10" i="3"/>
  <c r="E3" i="3"/>
  <c r="E4" i="3"/>
  <c r="E5" i="3"/>
  <c r="E6" i="3"/>
  <c r="E7" i="3"/>
  <c r="E8" i="3"/>
  <c r="E11" i="3"/>
  <c r="E2" i="3"/>
  <c r="D3" i="3"/>
  <c r="D4" i="3"/>
  <c r="D5" i="3"/>
  <c r="D6" i="3"/>
  <c r="D7" i="3"/>
  <c r="D8" i="3"/>
  <c r="D9" i="3"/>
  <c r="D10" i="3"/>
  <c r="D11" i="3"/>
  <c r="D2" i="3"/>
  <c r="B7" i="3"/>
  <c r="B2" i="3"/>
  <c r="B5" i="3"/>
  <c r="B9" i="3"/>
  <c r="B4" i="3"/>
  <c r="B8" i="3"/>
  <c r="B10" i="3"/>
  <c r="B11" i="3"/>
  <c r="B6" i="3"/>
  <c r="B3" i="3"/>
  <c r="C3" i="3" s="1"/>
  <c r="A7" i="3"/>
  <c r="A2" i="3"/>
  <c r="A5" i="3"/>
  <c r="A9" i="3"/>
  <c r="A4" i="3"/>
  <c r="A8" i="3"/>
  <c r="A10" i="3"/>
  <c r="A11" i="3"/>
  <c r="A6" i="3"/>
  <c r="A3" i="3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B2" i="2"/>
  <c r="A3" i="2"/>
  <c r="A4" i="2"/>
  <c r="A5" i="2"/>
  <c r="A6" i="2"/>
  <c r="A7" i="2"/>
  <c r="A8" i="2"/>
  <c r="A9" i="2"/>
  <c r="A10" i="2"/>
  <c r="A11" i="2"/>
  <c r="A2" i="2"/>
  <c r="G3" i="1"/>
  <c r="G4" i="1"/>
  <c r="G5" i="1"/>
  <c r="G6" i="1"/>
  <c r="G7" i="1"/>
  <c r="G8" i="1"/>
  <c r="G9" i="1"/>
  <c r="G10" i="1"/>
  <c r="G11" i="1"/>
  <c r="G2" i="1"/>
  <c r="C6" i="3" l="1"/>
  <c r="C11" i="3"/>
  <c r="C10" i="3"/>
  <c r="C8" i="3"/>
  <c r="C4" i="3"/>
  <c r="C9" i="3"/>
  <c r="C5" i="3"/>
  <c r="C2" i="3"/>
  <c r="C7" i="3"/>
</calcChain>
</file>

<file path=xl/sharedStrings.xml><?xml version="1.0" encoding="utf-8"?>
<sst xmlns="http://schemas.openxmlformats.org/spreadsheetml/2006/main" count="37" uniqueCount="35">
  <si>
    <t>ITEM CODE</t>
  </si>
  <si>
    <t>ITEM NAME</t>
  </si>
  <si>
    <t>ANNUAL DEMAND</t>
  </si>
  <si>
    <t>UNIT COST</t>
  </si>
  <si>
    <t>ORDERING COST</t>
  </si>
  <si>
    <t>HOLDING COST%</t>
  </si>
  <si>
    <t>HOLDING COST</t>
  </si>
  <si>
    <t>AOO1</t>
  </si>
  <si>
    <t>Steel Rod</t>
  </si>
  <si>
    <t>AOO2</t>
  </si>
  <si>
    <t>Plastic Sheet</t>
  </si>
  <si>
    <t>AOO3</t>
  </si>
  <si>
    <t>Copper Wire</t>
  </si>
  <si>
    <t>AOO4</t>
  </si>
  <si>
    <t>Aluminium Plate</t>
  </si>
  <si>
    <t>AOO5</t>
  </si>
  <si>
    <t>Rubber Gasket</t>
  </si>
  <si>
    <t>AOO6</t>
  </si>
  <si>
    <t>Glass Panel</t>
  </si>
  <si>
    <t>AOO7</t>
  </si>
  <si>
    <t>Brass Nut</t>
  </si>
  <si>
    <t>AOO8</t>
  </si>
  <si>
    <t>Carbon Brush</t>
  </si>
  <si>
    <t>AOO9</t>
  </si>
  <si>
    <t>Insulation Tape</t>
  </si>
  <si>
    <t>AOO10</t>
  </si>
  <si>
    <t>Metal Clamp</t>
  </si>
  <si>
    <t>EOQ</t>
  </si>
  <si>
    <t>TOTAL ORDERING COST</t>
  </si>
  <si>
    <t>TOTAL HOLDING COST</t>
  </si>
  <si>
    <t>TOTAL COST</t>
  </si>
  <si>
    <t>ANNUAL CONSUMPTION VALUE</t>
  </si>
  <si>
    <t>% OF TOTAL VALUE</t>
  </si>
  <si>
    <t>CUMULATIVE %</t>
  </si>
  <si>
    <t>ABC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</si>
</sst>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2" sqref="A12"/>
    </sheetView>
  </sheetViews>
  <sheetFormatPr defaultRowHeight="15"/>
  <cols>
    <col min="1" max="1" width="11.28515625" customWidth="1"/>
    <col min="2" max="2" width="14.85546875" bestFit="1" customWidth="1"/>
    <col min="3" max="3" width="16.42578125" bestFit="1" customWidth="1"/>
    <col min="4" max="4" width="10.28515625" bestFit="1" customWidth="1"/>
    <col min="5" max="5" width="15.5703125" bestFit="1" customWidth="1"/>
    <col min="6" max="6" width="16.140625" bestFit="1" customWidth="1"/>
    <col min="7" max="7" width="14.57031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>
        <v>1200</v>
      </c>
      <c r="D2">
        <v>150</v>
      </c>
      <c r="E2">
        <v>500</v>
      </c>
      <c r="F2">
        <v>0.15</v>
      </c>
      <c r="G2">
        <f>E2*F2</f>
        <v>75</v>
      </c>
    </row>
    <row r="3" spans="1:7">
      <c r="A3" s="1" t="s">
        <v>9</v>
      </c>
      <c r="B3" t="s">
        <v>10</v>
      </c>
      <c r="C3">
        <v>3000</v>
      </c>
      <c r="D3">
        <v>40</v>
      </c>
      <c r="E3">
        <v>400</v>
      </c>
      <c r="F3">
        <v>0.2</v>
      </c>
      <c r="G3">
        <f t="shared" ref="G3:G11" si="0">E3*F3</f>
        <v>80</v>
      </c>
    </row>
    <row r="4" spans="1:7">
      <c r="A4" s="1" t="s">
        <v>11</v>
      </c>
      <c r="B4" t="s">
        <v>12</v>
      </c>
      <c r="C4">
        <v>800</v>
      </c>
      <c r="D4">
        <v>250</v>
      </c>
      <c r="E4">
        <v>600</v>
      </c>
      <c r="F4">
        <v>0.1</v>
      </c>
      <c r="G4">
        <f t="shared" si="0"/>
        <v>60</v>
      </c>
    </row>
    <row r="5" spans="1:7">
      <c r="A5" s="1" t="s">
        <v>13</v>
      </c>
      <c r="B5" t="s">
        <v>14</v>
      </c>
      <c r="C5">
        <v>1500</v>
      </c>
      <c r="D5">
        <v>100</v>
      </c>
      <c r="E5">
        <v>450</v>
      </c>
      <c r="F5">
        <v>0.18</v>
      </c>
      <c r="G5">
        <f t="shared" si="0"/>
        <v>81</v>
      </c>
    </row>
    <row r="6" spans="1:7">
      <c r="A6" s="1" t="s">
        <v>15</v>
      </c>
      <c r="B6" t="s">
        <v>16</v>
      </c>
      <c r="C6">
        <v>5000</v>
      </c>
      <c r="D6">
        <v>20</v>
      </c>
      <c r="E6">
        <v>350</v>
      </c>
      <c r="F6">
        <v>0.25</v>
      </c>
      <c r="G6">
        <f t="shared" si="0"/>
        <v>87.5</v>
      </c>
    </row>
    <row r="7" spans="1:7">
      <c r="A7" s="1" t="s">
        <v>17</v>
      </c>
      <c r="B7" t="s">
        <v>18</v>
      </c>
      <c r="C7">
        <v>600</v>
      </c>
      <c r="D7">
        <v>300</v>
      </c>
      <c r="E7">
        <v>700</v>
      </c>
      <c r="F7">
        <v>0.12</v>
      </c>
      <c r="G7">
        <f t="shared" si="0"/>
        <v>84</v>
      </c>
    </row>
    <row r="8" spans="1:7">
      <c r="A8" s="1" t="s">
        <v>19</v>
      </c>
      <c r="B8" t="s">
        <v>20</v>
      </c>
      <c r="C8">
        <v>2000</v>
      </c>
      <c r="D8">
        <v>60</v>
      </c>
      <c r="E8">
        <v>400</v>
      </c>
      <c r="F8">
        <v>0.15</v>
      </c>
      <c r="G8">
        <f t="shared" si="0"/>
        <v>60</v>
      </c>
    </row>
    <row r="9" spans="1:7">
      <c r="A9" s="1" t="s">
        <v>21</v>
      </c>
      <c r="B9" t="s">
        <v>22</v>
      </c>
      <c r="C9">
        <v>1000</v>
      </c>
      <c r="D9">
        <v>90</v>
      </c>
      <c r="E9">
        <v>500</v>
      </c>
      <c r="F9">
        <v>0.2</v>
      </c>
      <c r="G9">
        <f t="shared" si="0"/>
        <v>100</v>
      </c>
    </row>
    <row r="10" spans="1:7">
      <c r="A10" s="1" t="s">
        <v>23</v>
      </c>
      <c r="B10" t="s">
        <v>24</v>
      </c>
      <c r="C10">
        <v>4000</v>
      </c>
      <c r="D10">
        <v>10</v>
      </c>
      <c r="E10">
        <v>300</v>
      </c>
      <c r="F10">
        <v>0.3</v>
      </c>
      <c r="G10">
        <f t="shared" si="0"/>
        <v>90</v>
      </c>
    </row>
    <row r="11" spans="1:7">
      <c r="A11" s="1" t="s">
        <v>25</v>
      </c>
      <c r="B11" t="s">
        <v>26</v>
      </c>
      <c r="C11">
        <v>1800</v>
      </c>
      <c r="D11">
        <v>80</v>
      </c>
      <c r="E11">
        <v>450</v>
      </c>
      <c r="F11">
        <v>0.18</v>
      </c>
      <c r="G11">
        <f t="shared" si="0"/>
        <v>81</v>
      </c>
    </row>
    <row r="12" spans="1:7">
      <c r="A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4A38-3AB4-442F-9344-23F82BDA6002}">
  <dimension ref="A1:E11"/>
  <sheetViews>
    <sheetView workbookViewId="0">
      <selection activeCell="D12" sqref="D12"/>
    </sheetView>
  </sheetViews>
  <sheetFormatPr defaultRowHeight="15"/>
  <cols>
    <col min="1" max="1" width="10.5703125" bestFit="1" customWidth="1"/>
    <col min="2" max="2" width="7.28515625" customWidth="1"/>
    <col min="3" max="3" width="21.42578125" bestFit="1" customWidth="1"/>
    <col min="4" max="4" width="20.28515625" bestFit="1" customWidth="1"/>
    <col min="5" max="5" width="11.5703125" bestFit="1" customWidth="1"/>
  </cols>
  <sheetData>
    <row r="1" spans="1:5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>
      <c r="A2" t="str">
        <f>'Raw Data'!A2</f>
        <v>AOO1</v>
      </c>
      <c r="B2" s="1">
        <f>SQRT(('Raw Data'!C2 * 'Raw Data'!E2) / 'Raw Data'!G2)</f>
        <v>89.442719099991592</v>
      </c>
      <c r="C2">
        <f>('Raw Data'!C2 / B2) * 'Raw Data'!E2</f>
        <v>6708.2039324993684</v>
      </c>
      <c r="D2">
        <f>(B2 / 2) * 'Raw Data'!G2</f>
        <v>3354.1019662496847</v>
      </c>
      <c r="E2">
        <f>C2 + D2</f>
        <v>10062.305898749053</v>
      </c>
    </row>
    <row r="3" spans="1:5">
      <c r="A3" t="str">
        <f>'Raw Data'!A3</f>
        <v>AOO2</v>
      </c>
      <c r="B3" s="1">
        <f>SQRT(('Raw Data'!C3 * 'Raw Data'!E3) / 'Raw Data'!G3)</f>
        <v>122.47448713915891</v>
      </c>
      <c r="C3">
        <f>('Raw Data'!C3 / B3) * 'Raw Data'!E3</f>
        <v>9797.9589711327117</v>
      </c>
      <c r="D3">
        <f>(B3 / 2) * 'Raw Data'!G3</f>
        <v>4898.9794855663567</v>
      </c>
      <c r="E3">
        <f t="shared" ref="E3:E11" si="0">C3 + D3</f>
        <v>14696.938456699068</v>
      </c>
    </row>
    <row r="4" spans="1:5">
      <c r="A4" t="str">
        <f>'Raw Data'!A4</f>
        <v>AOO3</v>
      </c>
      <c r="B4" s="1">
        <f>SQRT(('Raw Data'!C4 * 'Raw Data'!E4) / 'Raw Data'!G4)</f>
        <v>89.442719099991592</v>
      </c>
      <c r="C4">
        <f>('Raw Data'!C4 / B4) * 'Raw Data'!E4</f>
        <v>5366.5631459994956</v>
      </c>
      <c r="D4">
        <f>(B4 / 2) * 'Raw Data'!G4</f>
        <v>2683.2815729997478</v>
      </c>
      <c r="E4">
        <f t="shared" si="0"/>
        <v>8049.8447189992439</v>
      </c>
    </row>
    <row r="5" spans="1:5">
      <c r="A5" t="str">
        <f>'Raw Data'!A5</f>
        <v>AOO4</v>
      </c>
      <c r="B5" s="1">
        <f>SQRT(('Raw Data'!C5 * 'Raw Data'!E5) / 'Raw Data'!G5)</f>
        <v>91.287092917527687</v>
      </c>
      <c r="C5">
        <f>('Raw Data'!C5 / B5) * 'Raw Data'!E5</f>
        <v>7394.2545263197426</v>
      </c>
      <c r="D5">
        <f>(B5 / 2) * 'Raw Data'!G5</f>
        <v>3697.1272631598713</v>
      </c>
      <c r="E5">
        <f t="shared" si="0"/>
        <v>11091.381789479614</v>
      </c>
    </row>
    <row r="6" spans="1:5">
      <c r="A6" t="str">
        <f>'Raw Data'!A6</f>
        <v>AOO5</v>
      </c>
      <c r="B6" s="1">
        <f>SQRT(('Raw Data'!C6 * 'Raw Data'!E6) / 'Raw Data'!G6)</f>
        <v>141.42135623730951</v>
      </c>
      <c r="C6">
        <f>('Raw Data'!C6 / B6) * 'Raw Data'!E6</f>
        <v>12374.368670764583</v>
      </c>
      <c r="D6">
        <f>(B6 / 2) * 'Raw Data'!G6</f>
        <v>6187.1843353822915</v>
      </c>
      <c r="E6">
        <f t="shared" si="0"/>
        <v>18561.553006146874</v>
      </c>
    </row>
    <row r="7" spans="1:5">
      <c r="A7" t="str">
        <f>'Raw Data'!A7</f>
        <v>AOO6</v>
      </c>
      <c r="B7" s="1">
        <f>SQRT(('Raw Data'!C7 * 'Raw Data'!E7) / 'Raw Data'!G7)</f>
        <v>70.710678118654755</v>
      </c>
      <c r="C7">
        <f>('Raw Data'!C7 / B7) * 'Raw Data'!E7</f>
        <v>5939.696961966999</v>
      </c>
      <c r="D7">
        <f>(B7 / 2) * 'Raw Data'!G7</f>
        <v>2969.8484809834999</v>
      </c>
      <c r="E7">
        <f t="shared" si="0"/>
        <v>8909.5454429504989</v>
      </c>
    </row>
    <row r="8" spans="1:5">
      <c r="A8" t="str">
        <f>'Raw Data'!A8</f>
        <v>AOO7</v>
      </c>
      <c r="B8" s="1">
        <f>SQRT(('Raw Data'!C8 * 'Raw Data'!E8) / 'Raw Data'!G8)</f>
        <v>115.47005383792515</v>
      </c>
      <c r="C8">
        <f>('Raw Data'!C8 / B8) * 'Raw Data'!E8</f>
        <v>6928.2032302755097</v>
      </c>
      <c r="D8">
        <f>(B8 / 2) * 'Raw Data'!G8</f>
        <v>3464.1016151377544</v>
      </c>
      <c r="E8">
        <f t="shared" si="0"/>
        <v>10392.304845413264</v>
      </c>
    </row>
    <row r="9" spans="1:5">
      <c r="A9" t="str">
        <f>'Raw Data'!A9</f>
        <v>AOO8</v>
      </c>
      <c r="B9" s="1">
        <f>SQRT(('Raw Data'!C9 * 'Raw Data'!E9) / 'Raw Data'!G9)</f>
        <v>70.710678118654755</v>
      </c>
      <c r="C9">
        <f>('Raw Data'!C9 / B9) * 'Raw Data'!E9</f>
        <v>7071.0678118654751</v>
      </c>
      <c r="D9">
        <f>(B9 / 2) * 'Raw Data'!G9</f>
        <v>3535.533905932738</v>
      </c>
      <c r="E9">
        <f t="shared" si="0"/>
        <v>10606.601717798214</v>
      </c>
    </row>
    <row r="10" spans="1:5">
      <c r="A10" t="str">
        <f>'Raw Data'!A10</f>
        <v>AOO9</v>
      </c>
      <c r="B10" s="1">
        <f>SQRT(('Raw Data'!C10 * 'Raw Data'!E10) / 'Raw Data'!G10)</f>
        <v>115.47005383792515</v>
      </c>
      <c r="C10">
        <f>('Raw Data'!C10 / B10) * 'Raw Data'!E10</f>
        <v>10392.304845413264</v>
      </c>
      <c r="D10">
        <f>(B10 / 2) * 'Raw Data'!G10</f>
        <v>5196.152422706632</v>
      </c>
      <c r="E10">
        <f t="shared" si="0"/>
        <v>15588.457268119895</v>
      </c>
    </row>
    <row r="11" spans="1:5">
      <c r="A11" t="str">
        <f>'Raw Data'!A11</f>
        <v>AOO10</v>
      </c>
      <c r="B11" s="1">
        <f>SQRT(('Raw Data'!C11 * 'Raw Data'!E11) / 'Raw Data'!G11)</f>
        <v>100</v>
      </c>
      <c r="C11">
        <f>('Raw Data'!C11 / B11) * 'Raw Data'!E11</f>
        <v>8100</v>
      </c>
      <c r="D11">
        <f>(B11 / 2) * 'Raw Data'!G11</f>
        <v>4050</v>
      </c>
      <c r="E11">
        <f t="shared" si="0"/>
        <v>12150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5434-7307-4B36-872F-9DE341C201DA}">
  <dimension ref="A1:E11"/>
  <sheetViews>
    <sheetView tabSelected="1" workbookViewId="0">
      <selection activeCell="J10" sqref="J10"/>
    </sheetView>
  </sheetViews>
  <sheetFormatPr defaultRowHeight="15"/>
  <cols>
    <col min="1" max="1" width="13.85546875" bestFit="1" customWidth="1"/>
    <col min="2" max="2" width="28.28515625" bestFit="1" customWidth="1"/>
    <col min="3" max="3" width="17.28515625" bestFit="1" customWidth="1"/>
    <col min="4" max="4" width="14.28515625" bestFit="1" customWidth="1"/>
    <col min="5" max="5" width="30.85546875" bestFit="1" customWidth="1"/>
  </cols>
  <sheetData>
    <row r="1" spans="1:5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>
      <c r="A2" t="str">
        <f>'Raw Data'!A4</f>
        <v>AOO3</v>
      </c>
      <c r="B2">
        <f>'Raw Data'!C4 * 'Raw Data'!D4</f>
        <v>200000</v>
      </c>
      <c r="C2">
        <f>(B2 / SUM(B$2:B$11)) * 100</f>
        <v>15.105740181268882</v>
      </c>
      <c r="D2">
        <f>SUM(C$2:C2)</f>
        <v>15.105740181268882</v>
      </c>
      <c r="E2" t="str">
        <f>IF(D2&lt;=70,"A",IF(AND(D2&gt;70,D2&lt;=90),"B","C"))</f>
        <v>A</v>
      </c>
    </row>
    <row r="3" spans="1:5">
      <c r="A3" t="str">
        <f>'Raw Data'!A2</f>
        <v>AOO1</v>
      </c>
      <c r="B3">
        <f>'Raw Data'!C2 * 'Raw Data'!D2</f>
        <v>180000</v>
      </c>
      <c r="C3">
        <f>(B3 / SUM(B$2:B$11)) * 100</f>
        <v>13.595166163141995</v>
      </c>
      <c r="D3">
        <f>SUM(C$2:C3)</f>
        <v>28.700906344410875</v>
      </c>
      <c r="E3" t="str">
        <f t="shared" ref="E3:E11" si="0">IF(D3&lt;=70,"A",IF(AND(D3&gt;70,D3&lt;=90),"B","C"))</f>
        <v>A</v>
      </c>
    </row>
    <row r="4" spans="1:5">
      <c r="A4" t="str">
        <f>'Raw Data'!A7</f>
        <v>AOO6</v>
      </c>
      <c r="B4">
        <f>'Raw Data'!C7 * 'Raw Data'!D7</f>
        <v>180000</v>
      </c>
      <c r="C4">
        <f>(B4 / SUM(B$2:B$11)) * 100</f>
        <v>13.595166163141995</v>
      </c>
      <c r="D4">
        <f>SUM(C$2:C4)</f>
        <v>42.296072507552871</v>
      </c>
      <c r="E4" t="str">
        <f t="shared" si="0"/>
        <v>A</v>
      </c>
    </row>
    <row r="5" spans="1:5">
      <c r="A5" t="str">
        <f>'Raw Data'!A5</f>
        <v>AOO4</v>
      </c>
      <c r="B5">
        <f>'Raw Data'!C5 * 'Raw Data'!D5</f>
        <v>150000</v>
      </c>
      <c r="C5">
        <f>(B5 / SUM(B$2:B$11)) * 100</f>
        <v>11.329305135951662</v>
      </c>
      <c r="D5">
        <f>SUM(C$2:C5)</f>
        <v>53.625377643504535</v>
      </c>
      <c r="E5" t="str">
        <f t="shared" si="0"/>
        <v>A</v>
      </c>
    </row>
    <row r="6" spans="1:5">
      <c r="A6" t="str">
        <f>'Raw Data'!A11</f>
        <v>AOO10</v>
      </c>
      <c r="B6">
        <f>'Raw Data'!C11 * 'Raw Data'!D11</f>
        <v>144000</v>
      </c>
      <c r="C6">
        <f>(B6 / SUM(B$2:B$11)) * 100</f>
        <v>10.876132930513595</v>
      </c>
      <c r="D6">
        <f>SUM(C$2:C6)</f>
        <v>64.501510574018127</v>
      </c>
      <c r="E6" t="str">
        <f t="shared" si="0"/>
        <v>A</v>
      </c>
    </row>
    <row r="7" spans="1:5">
      <c r="A7" t="str">
        <f>'Raw Data'!A3</f>
        <v>AOO2</v>
      </c>
      <c r="B7">
        <f>'Raw Data'!C3 * 'Raw Data'!D3</f>
        <v>120000</v>
      </c>
      <c r="C7">
        <f>(B7 / SUM(B$2:B$11)) * 100</f>
        <v>9.0634441087613293</v>
      </c>
      <c r="D7">
        <f>SUM(C$2:C7)</f>
        <v>73.564954682779458</v>
      </c>
      <c r="E7" t="str">
        <f t="shared" si="0"/>
        <v>B</v>
      </c>
    </row>
    <row r="8" spans="1:5">
      <c r="A8" t="str">
        <f>'Raw Data'!A8</f>
        <v>AOO7</v>
      </c>
      <c r="B8">
        <f>'Raw Data'!C8 * 'Raw Data'!D8</f>
        <v>120000</v>
      </c>
      <c r="C8">
        <f>(B8 / SUM(B$2:B$11)) * 100</f>
        <v>9.0634441087613293</v>
      </c>
      <c r="D8">
        <f>SUM(C$2:C8)</f>
        <v>82.628398791540789</v>
      </c>
      <c r="E8" t="str">
        <f t="shared" si="0"/>
        <v>B</v>
      </c>
    </row>
    <row r="9" spans="1:5">
      <c r="A9" t="str">
        <f>'Raw Data'!A6</f>
        <v>AOO5</v>
      </c>
      <c r="B9">
        <f>'Raw Data'!C6 * 'Raw Data'!D6</f>
        <v>100000</v>
      </c>
      <c r="C9">
        <f>(B9 / SUM(B$2:B$11)) * 100</f>
        <v>7.5528700906344408</v>
      </c>
      <c r="D9">
        <f>SUM(C$2:C9)</f>
        <v>90.181268882175232</v>
      </c>
      <c r="E9" t="str">
        <f>IF(D9&lt;=70,"A",IF(AND(D9&gt;70,D9&lt;=90),"B","C"))</f>
        <v>C</v>
      </c>
    </row>
    <row r="10" spans="1:5">
      <c r="A10" t="str">
        <f>'Raw Data'!A9</f>
        <v>AOO8</v>
      </c>
      <c r="B10">
        <f>'Raw Data'!C9 * 'Raw Data'!D9</f>
        <v>90000</v>
      </c>
      <c r="C10">
        <f>(B10 / SUM(B$2:B$11)) * 100</f>
        <v>6.7975830815709974</v>
      </c>
      <c r="D10">
        <f>SUM(C$2:C10)</f>
        <v>96.978851963746223</v>
      </c>
      <c r="E10" t="str">
        <f t="shared" si="0"/>
        <v>C</v>
      </c>
    </row>
    <row r="11" spans="1:5">
      <c r="A11" t="str">
        <f>'Raw Data'!A10</f>
        <v>AOO9</v>
      </c>
      <c r="B11">
        <f>'Raw Data'!C10 * 'Raw Data'!D10</f>
        <v>40000</v>
      </c>
      <c r="C11">
        <f>(B11 / SUM(B$2:B$11)) * 100</f>
        <v>3.0211480362537766</v>
      </c>
      <c r="D11">
        <f>SUM(C$2:C11)</f>
        <v>100</v>
      </c>
      <c r="E11" t="str">
        <f t="shared" si="0"/>
        <v>C</v>
      </c>
    </row>
  </sheetData>
  <sortState xmlns:xlrd2="http://schemas.microsoft.com/office/spreadsheetml/2017/richdata2" ref="A2:C11">
    <sortCondition descending="1" ref="B2:B11"/>
  </sortState>
  <conditionalFormatting sqref="E2:E11">
    <cfRule type="containsText" dxfId="3" priority="4" operator="containsText" text="B">
      <formula>NOT(ISERROR(SEARCH("B",E2)))</formula>
    </cfRule>
  </conditionalFormatting>
  <conditionalFormatting sqref="E2:E11">
    <cfRule type="containsText" dxfId="2" priority="3" operator="containsText" text="A">
      <formula>NOT(ISERROR(SEARCH("A",E2)))</formula>
    </cfRule>
  </conditionalFormatting>
  <conditionalFormatting sqref="K16">
    <cfRule type="notContainsBlanks" dxfId="1" priority="2">
      <formula>LEN(TRIM(K16))&gt;0</formula>
    </cfRule>
  </conditionalFormatting>
  <conditionalFormatting sqref="E9:E11">
    <cfRule type="containsText" dxfId="0" priority="1" operator="containsText" text="C">
      <formula>NOT(ISERROR(SEARCH("C",E9)))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2025-11-03T13:57:13Z</dcterms:created>
  <dcterms:modified xsi:type="dcterms:W3CDTF">2025-11-03T15:46:20Z</dcterms:modified>
  <cp:category/>
  <cp:contentStatus/>
</cp:coreProperties>
</file>